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h_res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<sst xmlns="http://schemas.openxmlformats.org/spreadsheetml/2006/main" count="56" uniqueCount="33">
  <si>
    <t xml:space="preserve">Conditions for BLS</t>
  </si>
  <si>
    <t xml:space="preserve">Algorithm</t>
  </si>
  <si>
    <t xml:space="preserve">nclusters</t>
  </si>
  <si>
    <t xml:space="preserve">max_cluster</t>
  </si>
  <si>
    <t xml:space="preserve">elapsed_ms</t>
  </si>
  <si>
    <t xml:space="preserve">X min</t>
  </si>
  <si>
    <t xml:space="preserve">natoms</t>
  </si>
  <si>
    <t xml:space="preserve">NX</t>
  </si>
  <si>
    <t xml:space="preserve">NY</t>
  </si>
  <si>
    <t xml:space="preserve">NZ</t>
  </si>
  <si>
    <t xml:space="preserve">dNN_vox</t>
  </si>
  <si>
    <t xml:space="preserve">seeds</t>
  </si>
  <si>
    <t xml:space="preserve">refined_voxels</t>
  </si>
  <si>
    <t xml:space="preserve">Bls-cubic F</t>
  </si>
  <si>
    <t xml:space="preserve">Opt BLS cfc</t>
  </si>
  <si>
    <t xml:space="preserve">dbscan</t>
  </si>
  <si>
    <t xml:space="preserve">traditional_dfs</t>
  </si>
  <si>
    <t xml:space="preserve">gcbd</t>
  </si>
  <si>
    <t xml:space="preserve">hierarchical</t>
  </si>
  <si>
    <t xml:space="preserve">kmeans</t>
  </si>
  <si>
    <t xml:space="preserve">skip_dfs</t>
  </si>
  <si>
    <t xml:space="preserve">spectral</t>
  </si>
  <si>
    <t xml:space="preserve">cc3d</t>
  </si>
  <si>
    <t xml:space="preserve">cc3d_optimized</t>
  </si>
  <si>
    <t xml:space="preserve">hdbscan</t>
  </si>
  <si>
    <t xml:space="preserve">frame</t>
  </si>
  <si>
    <t xml:space="preserve">time_ps</t>
  </si>
  <si>
    <t xml:space="preserve">lattice</t>
  </si>
  <si>
    <t xml:space="preserve">centering</t>
  </si>
  <si>
    <t xml:space="preserve">seed_hits</t>
  </si>
  <si>
    <t xml:space="preserve">cubic</t>
  </si>
  <si>
    <t xml:space="preserve">F</t>
  </si>
  <si>
    <t xml:space="preserve">-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</si>
</sst>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ih_res!$E$2</c:f>
              <c:strCache>
                <c:ptCount val="1"/>
                <c:pt idx="0">
                  <c:v>X min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ih_res!$A$3:$A$11</c:f>
              <c:strCache>
                <c:ptCount val="9"/>
                <c:pt idx="0">
                  <c:v>Bls-cubic F</c:v>
                </c:pt>
                <c:pt idx="1">
                  <c:v>Opt BLS cfc</c:v>
                </c:pt>
                <c:pt idx="2">
                  <c:v>dbscan</c:v>
                </c:pt>
                <c:pt idx="3">
                  <c:v>traditional_dfs</c:v>
                </c:pt>
                <c:pt idx="4">
                  <c:v>gcbd</c:v>
                </c:pt>
                <c:pt idx="5">
                  <c:v>hierarchical</c:v>
                </c:pt>
                <c:pt idx="6">
                  <c:v>kmeans</c:v>
                </c:pt>
                <c:pt idx="7">
                  <c:v>skip_dfs</c:v>
                </c:pt>
                <c:pt idx="8">
                  <c:v>spectral</c:v>
                </c:pt>
              </c:strCache>
            </c:strRef>
          </c:cat>
          <c:val>
            <c:numRef>
              <c:f>ih_res!$E$3:$E$11</c:f>
              <c:numCache>
                <c:formatCode>#,##0.0</c:formatCode>
                <c:ptCount val="9"/>
                <c:pt idx="0">
                  <c:v>19.2593365324431</c:v>
                </c:pt>
                <c:pt idx="1">
                  <c:v>1</c:v>
                </c:pt>
                <c:pt idx="2">
                  <c:v>6.28659492688005</c:v>
                </c:pt>
                <c:pt idx="3">
                  <c:v>3.50558481978659</c:v>
                </c:pt>
                <c:pt idx="4">
                  <c:v>15.1961085861899</c:v>
                </c:pt>
                <c:pt idx="5">
                  <c:v>9.64695077228174</c:v>
                </c:pt>
                <c:pt idx="6">
                  <c:v>5.07417389190852</c:v>
                </c:pt>
                <c:pt idx="7">
                  <c:v>3.48897984818926</c:v>
                </c:pt>
                <c:pt idx="8">
                  <c:v>4.84232805143239</c:v>
                </c:pt>
              </c:numCache>
            </c:numRef>
          </c:val>
        </c:ser>
        <c:gapWidth val="100"/>
        <c:overlap val="0"/>
        <c:axId val="75933831"/>
        <c:axId val="27613814"/>
      </c:barChart>
      <c:catAx>
        <c:axId val="759338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7613814"/>
        <c:crosses val="autoZero"/>
        <c:auto val="1"/>
        <c:lblAlgn val="ctr"/>
        <c:lblOffset val="100"/>
        <c:noMultiLvlLbl val="0"/>
      </c:catAx>
      <c:valAx>
        <c:axId val="276138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593383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554760</xdr:colOff>
      <xdr:row>26</xdr:row>
      <xdr:rowOff>55440</xdr:rowOff>
    </xdr:from>
    <xdr:to>
      <xdr:col>21</xdr:col>
      <xdr:colOff>622800</xdr:colOff>
      <xdr:row>46</xdr:row>
      <xdr:rowOff>43200</xdr:rowOff>
    </xdr:to>
    <xdr:graphicFrame>
      <xdr:nvGraphicFramePr>
        <xdr:cNvPr id="0" name=""/>
        <xdr:cNvGraphicFramePr/>
      </xdr:nvGraphicFramePr>
      <xdr:xfrm>
        <a:off x="10116000" y="4281840"/>
        <a:ext cx="57574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84"/>
    <col collapsed="false" customWidth="true" hidden="false" outlineLevel="0" max="2" min="2" style="1" width="8.95"/>
    <col collapsed="false" customWidth="true" hidden="false" outlineLevel="0" max="3" min="3" style="1" width="11.45"/>
    <col collapsed="false" customWidth="true" hidden="false" outlineLevel="0" max="4" min="4" style="2" width="11.31"/>
    <col collapsed="false" customWidth="true" hidden="false" outlineLevel="0" max="5" min="5" style="1" width="6.3"/>
    <col collapsed="false" customWidth="true" hidden="false" outlineLevel="0" max="7" min="7" style="1" width="16.73"/>
    <col collapsed="false" customWidth="true" hidden="false" outlineLevel="0" max="10" min="8" style="1" width="4.48"/>
    <col collapsed="false" customWidth="true" hidden="false" outlineLevel="0" max="11" min="11" style="1" width="8.95"/>
    <col collapsed="false" customWidth="true" hidden="false" outlineLevel="0" max="12" min="12" style="1" width="9.36"/>
    <col collapsed="false" customWidth="true" hidden="false" outlineLevel="0" max="13" min="13" style="1" width="13.25"/>
  </cols>
  <sheetData>
    <row r="1" customFormat="false" ht="12.8" hidden="false" customHeight="false" outlineLevel="0" collapsed="false">
      <c r="G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Format="false" ht="12.8" hidden="false" customHeight="false" outlineLevel="0" collapsed="false">
      <c r="A3" s="1" t="s">
        <v>13</v>
      </c>
      <c r="B3" s="1" t="n">
        <v>20</v>
      </c>
      <c r="C3" s="1" t="n">
        <v>574</v>
      </c>
      <c r="D3" s="2" t="n">
        <v>8954.07</v>
      </c>
      <c r="E3" s="3" t="n">
        <f aca="false">D3/MIN($D$3:$D$14)</f>
        <v>19.2593365324431</v>
      </c>
      <c r="G3" s="1" t="n">
        <v>960</v>
      </c>
      <c r="H3" s="1" t="n">
        <v>957</v>
      </c>
      <c r="I3" s="1" t="n">
        <v>698</v>
      </c>
      <c r="J3" s="1" t="n">
        <v>843</v>
      </c>
      <c r="K3" s="1" t="n">
        <v>3.11111</v>
      </c>
      <c r="L3" s="1" t="n">
        <v>26490195</v>
      </c>
      <c r="M3" s="1" t="n">
        <v>11148</v>
      </c>
    </row>
    <row r="4" customFormat="false" ht="12.8" hidden="false" customHeight="false" outlineLevel="0" collapsed="false">
      <c r="A4" s="1" t="s">
        <v>14</v>
      </c>
      <c r="B4" s="1" t="n">
        <v>20</v>
      </c>
      <c r="C4" s="1" t="n">
        <v>145</v>
      </c>
      <c r="D4" s="2" t="n">
        <v>464.921</v>
      </c>
      <c r="E4" s="3" t="n">
        <f aca="false">D4/MIN($D$3:$D$14)</f>
        <v>1</v>
      </c>
      <c r="G4" s="1" t="n">
        <v>960</v>
      </c>
      <c r="H4" s="1" t="n">
        <v>480</v>
      </c>
      <c r="I4" s="1" t="n">
        <v>350</v>
      </c>
      <c r="J4" s="1" t="n">
        <v>423</v>
      </c>
      <c r="K4" s="1" t="n">
        <v>4.35556</v>
      </c>
      <c r="L4" s="1" t="n">
        <v>1227096</v>
      </c>
      <c r="M4" s="1" t="n">
        <v>2781</v>
      </c>
    </row>
    <row r="5" customFormat="false" ht="12.8" hidden="false" customHeight="false" outlineLevel="0" collapsed="false">
      <c r="A5" s="1" t="s">
        <v>15</v>
      </c>
      <c r="B5" s="1" t="n">
        <v>20</v>
      </c>
      <c r="C5" s="1" t="n">
        <v>574</v>
      </c>
      <c r="D5" s="2" t="n">
        <v>2922.77</v>
      </c>
      <c r="E5" s="3" t="n">
        <f aca="false">D5/MIN($D$3:$D$14)</f>
        <v>6.28659492688005</v>
      </c>
    </row>
    <row r="6" customFormat="false" ht="12.8" hidden="false" customHeight="false" outlineLevel="0" collapsed="false">
      <c r="A6" s="1" t="s">
        <v>16</v>
      </c>
      <c r="B6" s="1" t="n">
        <v>20</v>
      </c>
      <c r="C6" s="1" t="n">
        <v>574</v>
      </c>
      <c r="D6" s="2" t="n">
        <v>1629.82</v>
      </c>
      <c r="E6" s="3" t="n">
        <f aca="false">D6/MIN($D$3:$D$14)</f>
        <v>3.50558481978659</v>
      </c>
    </row>
    <row r="7" customFormat="false" ht="12.8" hidden="false" customHeight="false" outlineLevel="0" collapsed="false">
      <c r="A7" s="1" t="s">
        <v>17</v>
      </c>
      <c r="B7" s="1" t="n">
        <v>20</v>
      </c>
      <c r="C7" s="1" t="n">
        <v>574</v>
      </c>
      <c r="D7" s="2" t="n">
        <v>7064.99</v>
      </c>
      <c r="E7" s="3" t="n">
        <f aca="false">D7/MIN($D$3:$D$14)</f>
        <v>15.1961085861899</v>
      </c>
    </row>
    <row r="8" customFormat="false" ht="12.8" hidden="false" customHeight="false" outlineLevel="0" collapsed="false">
      <c r="A8" s="1" t="s">
        <v>18</v>
      </c>
      <c r="B8" s="1" t="n">
        <v>20</v>
      </c>
      <c r="C8" s="1" t="n">
        <v>574</v>
      </c>
      <c r="D8" s="2" t="n">
        <v>4485.07</v>
      </c>
      <c r="E8" s="3" t="n">
        <f aca="false">D8/MIN($D$3:$D$14)</f>
        <v>9.64695077228174</v>
      </c>
    </row>
    <row r="9" customFormat="false" ht="12.8" hidden="false" customHeight="false" outlineLevel="0" collapsed="false">
      <c r="A9" s="1" t="s">
        <v>19</v>
      </c>
      <c r="B9" s="1" t="n">
        <v>20</v>
      </c>
      <c r="C9" s="1" t="n">
        <v>1117</v>
      </c>
      <c r="D9" s="2" t="n">
        <v>2359.09</v>
      </c>
      <c r="E9" s="3" t="n">
        <f aca="false">D9/MIN($D$3:$D$14)</f>
        <v>5.07417389190852</v>
      </c>
    </row>
    <row r="10" customFormat="false" ht="12.8" hidden="false" customHeight="false" outlineLevel="0" collapsed="false">
      <c r="A10" s="1" t="s">
        <v>20</v>
      </c>
      <c r="B10" s="1" t="n">
        <v>1094</v>
      </c>
      <c r="C10" s="1" t="n">
        <v>27</v>
      </c>
      <c r="D10" s="2" t="n">
        <v>1622.1</v>
      </c>
      <c r="E10" s="3" t="n">
        <f aca="false">D10/MIN($D$3:$D$14)</f>
        <v>3.48897984818926</v>
      </c>
    </row>
    <row r="11" customFormat="false" ht="12.8" hidden="false" customHeight="false" outlineLevel="0" collapsed="false">
      <c r="A11" s="1" t="s">
        <v>21</v>
      </c>
      <c r="B11" s="1" t="n">
        <v>20</v>
      </c>
      <c r="C11" s="1" t="n">
        <v>558</v>
      </c>
      <c r="D11" s="2" t="n">
        <v>2251.3</v>
      </c>
      <c r="E11" s="3" t="n">
        <f aca="false">D11/MIN($D$3:$D$14)</f>
        <v>4.84232805143239</v>
      </c>
    </row>
    <row r="12" customFormat="false" ht="12.8" hidden="false" customHeight="false" outlineLevel="0" collapsed="false">
      <c r="A12" s="0" t="s">
        <v>22</v>
      </c>
      <c r="B12" s="0" t="n">
        <v>20</v>
      </c>
      <c r="C12" s="0" t="n">
        <v>145</v>
      </c>
      <c r="D12" s="4" t="n">
        <v>842.416</v>
      </c>
      <c r="E12" s="3" t="n">
        <f aca="false">D12/MIN($D$3:$D$14)</f>
        <v>1.81195514936946</v>
      </c>
    </row>
    <row r="13" customFormat="false" ht="12.8" hidden="false" customHeight="false" outlineLevel="0" collapsed="false">
      <c r="A13" s="0" t="s">
        <v>23</v>
      </c>
      <c r="B13" s="0" t="n">
        <v>20</v>
      </c>
      <c r="C13" s="0" t="n">
        <v>145</v>
      </c>
      <c r="D13" s="4" t="n">
        <v>923.746</v>
      </c>
      <c r="E13" s="3" t="n">
        <f aca="false">D13/MIN($D$3:$D$14)</f>
        <v>1.98688809496667</v>
      </c>
    </row>
    <row r="14" customFormat="false" ht="12.8" hidden="false" customHeight="false" outlineLevel="0" collapsed="false">
      <c r="A14" s="0" t="s">
        <v>24</v>
      </c>
      <c r="B14" s="0" t="n">
        <v>1</v>
      </c>
      <c r="C14" s="0" t="n">
        <v>2781</v>
      </c>
      <c r="D14" s="4" t="n">
        <v>2209.57</v>
      </c>
      <c r="E14" s="3" t="n">
        <f aca="false">D14/MIN($D$3:$D$14)</f>
        <v>4.75257086687846</v>
      </c>
    </row>
    <row r="16" customFormat="false" ht="12.8" hidden="false" customHeight="false" outlineLevel="0" collapsed="false">
      <c r="A16" s="0"/>
      <c r="B16" s="0"/>
      <c r="C16" s="0"/>
      <c r="D16" s="4"/>
      <c r="E16" s="0"/>
      <c r="O16" s="1" t="s">
        <v>25</v>
      </c>
      <c r="P16" s="1" t="s">
        <v>26</v>
      </c>
      <c r="Q16" s="1" t="s">
        <v>6</v>
      </c>
      <c r="R16" s="1" t="s">
        <v>7</v>
      </c>
      <c r="S16" s="1" t="s">
        <v>8</v>
      </c>
      <c r="T16" s="1" t="s">
        <v>9</v>
      </c>
      <c r="U16" s="1" t="s">
        <v>10</v>
      </c>
      <c r="V16" s="1" t="s">
        <v>27</v>
      </c>
      <c r="W16" s="1" t="s">
        <v>28</v>
      </c>
      <c r="X16" s="1" t="s">
        <v>11</v>
      </c>
      <c r="Y16" s="1" t="s">
        <v>29</v>
      </c>
      <c r="AB16" s="1" t="s">
        <v>12</v>
      </c>
      <c r="AC16" s="1" t="s">
        <v>4</v>
      </c>
    </row>
    <row r="17" customFormat="false" ht="12.8" hidden="false" customHeight="false" outlineLevel="0" collapsed="false">
      <c r="A17" s="0"/>
      <c r="B17" s="0"/>
      <c r="C17" s="0"/>
      <c r="D17" s="4"/>
      <c r="E17" s="0"/>
      <c r="O17" s="1" t="n">
        <v>0</v>
      </c>
      <c r="P17" s="1" t="n">
        <v>0</v>
      </c>
      <c r="Q17" s="1" t="n">
        <v>960</v>
      </c>
      <c r="R17" s="1" t="n">
        <v>480</v>
      </c>
      <c r="S17" s="1" t="n">
        <v>350</v>
      </c>
      <c r="T17" s="1" t="n">
        <v>423</v>
      </c>
      <c r="U17" s="1" t="n">
        <v>4.35556</v>
      </c>
      <c r="V17" s="1" t="s">
        <v>30</v>
      </c>
      <c r="W17" s="1" t="s">
        <v>31</v>
      </c>
      <c r="X17" s="1" t="n">
        <v>1227096</v>
      </c>
      <c r="Y17" s="1" t="n">
        <v>20</v>
      </c>
      <c r="AB17" s="1" t="n">
        <v>2781</v>
      </c>
      <c r="AC17" s="1" t="n">
        <v>464.921</v>
      </c>
    </row>
    <row r="18" customFormat="false" ht="12.8" hidden="false" customHeight="false" outlineLevel="0" collapsed="false">
      <c r="A18" s="0"/>
      <c r="B18" s="0"/>
      <c r="C18" s="0"/>
      <c r="D18" s="4"/>
      <c r="E18" s="0"/>
    </row>
    <row r="19" customFormat="false" ht="12.8" hidden="false" customHeight="false" outlineLevel="0" collapsed="false">
      <c r="A19" s="0"/>
      <c r="B19" s="0"/>
      <c r="C19" s="0"/>
      <c r="D19" s="4"/>
      <c r="E19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1.53515625" defaultRowHeight="12.8" zeroHeight="false" outlineLevelRow="0" outlineLevelCol="0"/>
  <sheetData>
    <row r="6" customFormat="false" ht="12.8" hidden="false" customHeight="false" outlineLevel="0" collapsed="false">
      <c r="B6" s="0" t="s">
        <v>25</v>
      </c>
      <c r="C6" s="0" t="s">
        <v>26</v>
      </c>
      <c r="D6" s="0" t="s">
        <v>6</v>
      </c>
      <c r="E6" s="0" t="s">
        <v>7</v>
      </c>
      <c r="F6" s="0" t="s">
        <v>8</v>
      </c>
      <c r="G6" s="0" t="s">
        <v>9</v>
      </c>
      <c r="H6" s="0" t="s">
        <v>10</v>
      </c>
      <c r="J6" s="0" t="s">
        <v>28</v>
      </c>
      <c r="K6" s="0" t="s">
        <v>11</v>
      </c>
      <c r="L6" s="0" t="s">
        <v>29</v>
      </c>
    </row>
    <row r="7" customFormat="false" ht="12.8" hidden="false" customHeight="false" outlineLevel="0" collapsed="false">
      <c r="B7" s="0" t="n">
        <v>0</v>
      </c>
      <c r="C7" s="0" t="n">
        <v>0</v>
      </c>
      <c r="D7" s="0" t="n">
        <v>960</v>
      </c>
      <c r="E7" s="0" t="n">
        <v>480</v>
      </c>
      <c r="F7" s="0" t="n">
        <v>350</v>
      </c>
      <c r="G7" s="0" t="n">
        <v>423</v>
      </c>
      <c r="H7" s="0" t="n">
        <v>0</v>
      </c>
      <c r="J7" s="0" t="s">
        <v>32</v>
      </c>
      <c r="K7" s="0" t="n">
        <v>0</v>
      </c>
      <c r="L7" s="0" t="n">
        <v>0</v>
      </c>
    </row>
    <row r="10" customFormat="false" ht="12.8" hidden="false" customHeight="false" outlineLevel="0" collapsed="false">
      <c r="I10" s="0" t="s">
        <v>27</v>
      </c>
      <c r="J10" s="0" t="s">
        <v>2</v>
      </c>
      <c r="K10" s="0" t="s">
        <v>3</v>
      </c>
      <c r="M10" s="0" t="s">
        <v>4</v>
      </c>
    </row>
    <row r="11" customFormat="false" ht="12.8" hidden="false" customHeight="false" outlineLevel="0" collapsed="false">
      <c r="I11" s="0" t="s">
        <v>24</v>
      </c>
      <c r="J11" s="0" t="n">
        <v>1</v>
      </c>
      <c r="K11" s="0" t="n">
        <v>2781</v>
      </c>
      <c r="M11" s="0" t="n">
        <v>2209.57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2026-01-26T10:17:18Z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